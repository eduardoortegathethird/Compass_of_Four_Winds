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7e66abe850c18/Documents/Burning_Man_Compass_of_4_winds/4_26_2023_redesign/Previous_design_stuff_circuit_power_analysis/"/>
    </mc:Choice>
  </mc:AlternateContent>
  <xr:revisionPtr revIDLastSave="0" documentId="13_ncr:1_{890C0E5F-9748-4CC2-8108-7B1AB31302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wer analysis" sheetId="1" r:id="rId1"/>
    <sheet name="Circuit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/>
  <c r="E60" i="1" l="1"/>
  <c r="B23" i="1"/>
  <c r="B22" i="1"/>
  <c r="G22" i="1" s="1"/>
  <c r="H22" i="1" s="1"/>
  <c r="B5" i="2"/>
  <c r="B16" i="2" s="1"/>
  <c r="B17" i="2" s="1"/>
  <c r="C22" i="1" l="1"/>
  <c r="D22" i="1" s="1"/>
  <c r="E22" i="1" s="1"/>
  <c r="F22" i="1" s="1"/>
  <c r="B9" i="2"/>
  <c r="B11" i="2" s="1"/>
  <c r="B12" i="2" s="1"/>
  <c r="C9" i="2"/>
  <c r="C11" i="2" s="1"/>
  <c r="C12" i="2" s="1"/>
  <c r="D9" i="2"/>
  <c r="D11" i="2" s="1"/>
  <c r="D12" i="2" s="1"/>
  <c r="B19" i="2"/>
  <c r="B20" i="2" s="1"/>
  <c r="B18" i="2"/>
  <c r="B10" i="2"/>
  <c r="C10" i="2"/>
  <c r="D10" i="2"/>
  <c r="B38" i="1" l="1"/>
  <c r="D38" i="1" s="1"/>
  <c r="E63" i="1"/>
  <c r="E62" i="1"/>
  <c r="C23" i="1" l="1"/>
  <c r="D23" i="1" s="1"/>
  <c r="E23" i="1" s="1"/>
  <c r="F23" i="1" s="1"/>
  <c r="G23" i="1"/>
  <c r="H23" i="1" s="1"/>
  <c r="H24" i="1" s="1"/>
  <c r="B24" i="1"/>
  <c r="C24" i="1" l="1"/>
  <c r="G24" i="1"/>
  <c r="F24" i="1"/>
  <c r="C33" i="1" s="1"/>
  <c r="C34" i="1" s="1"/>
  <c r="C35" i="1" s="1"/>
  <c r="B69" i="1" s="1"/>
  <c r="E69" i="1" s="1"/>
  <c r="D24" i="1" l="1"/>
  <c r="B33" i="1" s="1"/>
  <c r="B34" i="1" s="1"/>
  <c r="B35" i="1" s="1"/>
  <c r="B68" i="1" s="1"/>
  <c r="E68" i="1" s="1"/>
  <c r="E24" i="1" l="1"/>
</calcChain>
</file>

<file path=xl/sharedStrings.xml><?xml version="1.0" encoding="utf-8"?>
<sst xmlns="http://schemas.openxmlformats.org/spreadsheetml/2006/main" count="105" uniqueCount="93">
  <si>
    <t>NOTE: EACH COLOR WILL ONLY UTILIZE 1/3 OF THE AMPAGE</t>
  </si>
  <si>
    <t>Meters Used</t>
  </si>
  <si>
    <t>Amps/LED</t>
  </si>
  <si>
    <t>Amps Used WHITE</t>
  </si>
  <si>
    <t>Gallons/Hour</t>
  </si>
  <si>
    <t>Hours/day</t>
  </si>
  <si>
    <t>Number of Days</t>
  </si>
  <si>
    <t>Number of gallons needed</t>
  </si>
  <si>
    <t>Rate of Fuel Consumed</t>
  </si>
  <si>
    <t>Conversation</t>
  </si>
  <si>
    <t>Duration</t>
  </si>
  <si>
    <t>Fuel Used</t>
  </si>
  <si>
    <t>100% for 9 days</t>
  </si>
  <si>
    <t>Part Nunber of LED Used in Strip</t>
  </si>
  <si>
    <t>LEDs / Meter</t>
  </si>
  <si>
    <t xml:space="preserve">Voltage Vcc for LED </t>
  </si>
  <si>
    <t>Drive Current for LED's (Amps/LED)</t>
  </si>
  <si>
    <t>SK6812</t>
  </si>
  <si>
    <t>BY:</t>
  </si>
  <si>
    <t>Eduardo Ortega</t>
  </si>
  <si>
    <t>DATE:</t>
  </si>
  <si>
    <t>Number of sides / face</t>
  </si>
  <si>
    <t>Volts</t>
  </si>
  <si>
    <t xml:space="preserve">Realistic LED Brightness Operating Factor </t>
  </si>
  <si>
    <t xml:space="preserve">Realistic COLOR Operating Factor </t>
  </si>
  <si>
    <t>Factor for Oversizing Generator</t>
  </si>
  <si>
    <t>Generator Performance Factor</t>
  </si>
  <si>
    <t>Power at 
REALISTIC BRIGHTNESS</t>
  </si>
  <si>
    <t>Power at 
REALISTIC COLOR &amp; BRIGHTNESS</t>
  </si>
  <si>
    <t>TOTALS</t>
  </si>
  <si>
    <t>Gallons of Fuel / Hour</t>
  </si>
  <si>
    <t>Full LOAD</t>
  </si>
  <si>
    <t>1/2 LOAD</t>
  </si>
  <si>
    <t>3/4 LOAD</t>
  </si>
  <si>
    <t>1/4 LOAD</t>
  </si>
  <si>
    <t>AC TO DC POWER SUPPIES SELECTED</t>
  </si>
  <si>
    <t>AC TO DC CONVERSION EFFICIENCY</t>
  </si>
  <si>
    <t>(Usual Aproximate factor)</t>
  </si>
  <si>
    <t>Oversized factor Generator Needed @ MAX WHITE</t>
  </si>
  <si>
    <t>Oversized Factor Generator Needed @ Realistic Load</t>
  </si>
  <si>
    <t>Power to Select Generator Needed</t>
  </si>
  <si>
    <t>Generator Selected</t>
  </si>
  <si>
    <t xml:space="preserve"> KUBOTA GL1100</t>
  </si>
  <si>
    <t>Generator Single Phase 120V Output Amps</t>
  </si>
  <si>
    <t>Amps</t>
  </si>
  <si>
    <t>Watts</t>
  </si>
  <si>
    <t>In order to prevent wet Stacking one should run the Generator beween 30% and 60% of load for long periods</t>
  </si>
  <si>
    <t>NOTE: BASED OFF OF LINEAR APPROXIMATIONS FROM THE KUBOTA GL1100 Datasheet</t>
  </si>
  <si>
    <t>Amps Used at 
REALISTIC COLOR &amp; BRIGHTNESS</t>
  </si>
  <si>
    <t>Compass of the Four Winds Power Calculations</t>
  </si>
  <si>
    <t>Compass</t>
  </si>
  <si>
    <t>Top Insignia</t>
  </si>
  <si>
    <t>Bottom Answer</t>
  </si>
  <si>
    <t>Lining of Throne/Totem</t>
  </si>
  <si>
    <t>Number of Throne/Totem</t>
  </si>
  <si>
    <t>LED Strip SK6812</t>
  </si>
  <si>
    <t>Length of 1 unit (m)</t>
  </si>
  <si>
    <t>LED/m</t>
  </si>
  <si>
    <t>A/LED</t>
  </si>
  <si>
    <t>NOTE: Assume white (worst case) for initial analysis</t>
  </si>
  <si>
    <t>A/m</t>
  </si>
  <si>
    <t>Totem Analysis</t>
  </si>
  <si>
    <t>Lining used (both sides)</t>
  </si>
  <si>
    <t>Top insginia</t>
  </si>
  <si>
    <t>Throne answer</t>
  </si>
  <si>
    <t>LED strip used</t>
  </si>
  <si>
    <t>Amps Needed</t>
  </si>
  <si>
    <t>Amps Needed with Performance factor</t>
  </si>
  <si>
    <t>Total</t>
  </si>
  <si>
    <t>Total with performance factor</t>
  </si>
  <si>
    <t>Compass Analysis</t>
  </si>
  <si>
    <t>Compass Spin</t>
  </si>
  <si>
    <t>Meters per Side</t>
  </si>
  <si>
    <t>Amps Needed with Performance Factor</t>
  </si>
  <si>
    <t xml:space="preserve">Total </t>
  </si>
  <si>
    <t>Performance Factor</t>
  </si>
  <si>
    <t>Totem (ALL 4)</t>
  </si>
  <si>
    <t>Compass LED</t>
  </si>
  <si>
    <t>Max Power WHITE 
(Watts, Worst Case)</t>
  </si>
  <si>
    <t>Watts Used at REALISTIC &amp; BRIGHTNESS</t>
  </si>
  <si>
    <t>70% for 9 days</t>
  </si>
  <si>
    <t>50% for 9 days</t>
  </si>
  <si>
    <t>30% for 9 days</t>
  </si>
  <si>
    <t>% of full load</t>
  </si>
  <si>
    <t>Load</t>
  </si>
  <si>
    <t>Fuel Consumption</t>
  </si>
  <si>
    <t>Fuel Consumption (Gallon/hour)</t>
  </si>
  <si>
    <t>NOTE: Realistically, we will run it during the night for 12 hours every day (9 days)</t>
  </si>
  <si>
    <t>Cases: Fuel Needed (general)</t>
  </si>
  <si>
    <t>Cases: Fuel Needed for LED</t>
  </si>
  <si>
    <t>MAX Load</t>
  </si>
  <si>
    <t>Realistic Load</t>
  </si>
  <si>
    <t>LED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</si>
</sst>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</font>
    <font>
      <sz val="11"/>
      <color rgb="FFFFFFFF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</font>
    <font>
      <sz val="10"/>
      <color rgb="FFFFFFFF"/>
      <name val="Arial"/>
    </font>
    <font>
      <sz val="11"/>
      <color theme="0"/>
      <name val="Calibri"/>
      <family val="2"/>
    </font>
    <font>
      <sz val="11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AD1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D9EAD3"/>
      </patternFill>
    </fill>
    <fill>
      <patternFill patternType="solid">
        <fgColor theme="5" tint="0.79998168889431442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6" borderId="0" applyNumberFormat="0" applyBorder="0" applyAlignment="0" applyProtection="0"/>
  </cellStyleXfs>
  <cellXfs count="82">
    <xf numFmtId="0" fontId="0" fillId="0" borderId="0" xfId="0"/>
    <xf numFmtId="0" fontId="4" fillId="0" borderId="0" xfId="0" applyFont="1"/>
    <xf numFmtId="0" fontId="2" fillId="0" borderId="0" xfId="0" applyFont="1"/>
    <xf numFmtId="0" fontId="6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0" borderId="0" xfId="0" applyAlignment="1">
      <alignment horizontal="center"/>
    </xf>
    <xf numFmtId="0" fontId="1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0" fillId="0" borderId="1" xfId="0" applyBorder="1"/>
    <xf numFmtId="0" fontId="0" fillId="0" borderId="5" xfId="0" applyBorder="1"/>
    <xf numFmtId="0" fontId="8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0" fillId="0" borderId="0" xfId="0" applyFont="1"/>
    <xf numFmtId="0" fontId="3" fillId="10" borderId="7" xfId="0" applyFont="1" applyFill="1" applyBorder="1"/>
    <xf numFmtId="0" fontId="3" fillId="10" borderId="8" xfId="0" applyFont="1" applyFill="1" applyBorder="1"/>
    <xf numFmtId="0" fontId="0" fillId="9" borderId="7" xfId="0" applyFill="1" applyBorder="1"/>
    <xf numFmtId="0" fontId="8" fillId="8" borderId="2" xfId="0" applyFont="1" applyFill="1" applyBorder="1" applyAlignment="1">
      <alignment horizontal="right"/>
    </xf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5" fillId="0" borderId="0" xfId="0" applyFont="1"/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9" borderId="7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10" fillId="0" borderId="1" xfId="0" applyFont="1" applyBorder="1"/>
    <xf numFmtId="0" fontId="10" fillId="0" borderId="9" xfId="0" applyFont="1" applyBorder="1" applyAlignment="1">
      <alignment wrapText="1"/>
    </xf>
    <xf numFmtId="0" fontId="4" fillId="7" borderId="9" xfId="0" applyFont="1" applyFill="1" applyBorder="1"/>
    <xf numFmtId="0" fontId="9" fillId="0" borderId="0" xfId="0" applyFont="1"/>
    <xf numFmtId="0" fontId="8" fillId="12" borderId="10" xfId="0" applyFont="1" applyFill="1" applyBorder="1" applyAlignment="1">
      <alignment wrapText="1"/>
    </xf>
    <xf numFmtId="0" fontId="4" fillId="13" borderId="10" xfId="0" applyFont="1" applyFill="1" applyBorder="1" applyAlignment="1">
      <alignment horizontal="right"/>
    </xf>
    <xf numFmtId="0" fontId="4" fillId="13" borderId="11" xfId="0" applyFont="1" applyFill="1" applyBorder="1" applyAlignment="1">
      <alignment horizontal="right"/>
    </xf>
    <xf numFmtId="0" fontId="4" fillId="13" borderId="10" xfId="0" applyFont="1" applyFill="1" applyBorder="1"/>
    <xf numFmtId="0" fontId="0" fillId="12" borderId="10" xfId="0" applyFill="1" applyBorder="1"/>
    <xf numFmtId="0" fontId="0" fillId="11" borderId="0" xfId="0" applyFill="1" applyAlignment="1">
      <alignment wrapText="1"/>
    </xf>
    <xf numFmtId="0" fontId="8" fillId="11" borderId="0" xfId="0" applyFont="1" applyFill="1" applyAlignment="1">
      <alignment wrapText="1"/>
    </xf>
    <xf numFmtId="0" fontId="8" fillId="11" borderId="1" xfId="0" applyFont="1" applyFill="1" applyBorder="1" applyAlignment="1">
      <alignment wrapText="1"/>
    </xf>
    <xf numFmtId="0" fontId="0" fillId="11" borderId="7" xfId="0" applyFill="1" applyBorder="1" applyAlignment="1">
      <alignment wrapText="1"/>
    </xf>
    <xf numFmtId="0" fontId="11" fillId="11" borderId="7" xfId="0" applyFont="1" applyFill="1" applyBorder="1" applyAlignment="1">
      <alignment wrapText="1"/>
    </xf>
    <xf numFmtId="0" fontId="10" fillId="11" borderId="0" xfId="0" applyFont="1" applyFill="1" applyAlignment="1">
      <alignment wrapText="1"/>
    </xf>
    <xf numFmtId="0" fontId="10" fillId="11" borderId="10" xfId="0" applyFont="1" applyFill="1" applyBorder="1" applyAlignment="1">
      <alignment wrapText="1"/>
    </xf>
    <xf numFmtId="0" fontId="11" fillId="11" borderId="10" xfId="0" applyFont="1" applyFill="1" applyBorder="1" applyAlignment="1">
      <alignment wrapText="1"/>
    </xf>
    <xf numFmtId="0" fontId="3" fillId="8" borderId="2" xfId="0" applyFont="1" applyFill="1" applyBorder="1"/>
    <xf numFmtId="0" fontId="8" fillId="11" borderId="12" xfId="0" applyFont="1" applyFill="1" applyBorder="1"/>
    <xf numFmtId="0" fontId="10" fillId="0" borderId="1" xfId="0" applyFont="1" applyBorder="1" applyAlignment="1">
      <alignment wrapText="1"/>
    </xf>
    <xf numFmtId="9" fontId="0" fillId="8" borderId="2" xfId="0" applyNumberFormat="1" applyFill="1" applyBorder="1"/>
    <xf numFmtId="9" fontId="8" fillId="8" borderId="2" xfId="0" applyNumberFormat="1" applyFont="1" applyFill="1" applyBorder="1"/>
    <xf numFmtId="1" fontId="0" fillId="8" borderId="2" xfId="0" applyNumberFormat="1" applyFill="1" applyBorder="1"/>
    <xf numFmtId="1" fontId="10" fillId="0" borderId="1" xfId="0" applyNumberFormat="1" applyFont="1" applyBorder="1"/>
    <xf numFmtId="1" fontId="0" fillId="7" borderId="2" xfId="0" applyNumberFormat="1" applyFill="1" applyBorder="1"/>
    <xf numFmtId="0" fontId="12" fillId="0" borderId="0" xfId="0" applyFont="1"/>
    <xf numFmtId="0" fontId="13" fillId="15" borderId="13" xfId="0" applyFont="1" applyFill="1" applyBorder="1"/>
    <xf numFmtId="0" fontId="12" fillId="5" borderId="13" xfId="0" applyFont="1" applyFill="1" applyBorder="1"/>
    <xf numFmtId="0" fontId="12" fillId="16" borderId="14" xfId="0" applyFont="1" applyFill="1" applyBorder="1"/>
    <xf numFmtId="0" fontId="12" fillId="16" borderId="13" xfId="0" applyFont="1" applyFill="1" applyBorder="1"/>
    <xf numFmtId="0" fontId="12" fillId="16" borderId="15" xfId="0" applyFont="1" applyFill="1" applyBorder="1"/>
    <xf numFmtId="0" fontId="12" fillId="5" borderId="16" xfId="0" applyFont="1" applyFill="1" applyBorder="1"/>
    <xf numFmtId="0" fontId="12" fillId="16" borderId="17" xfId="0" applyFont="1" applyFill="1" applyBorder="1"/>
    <xf numFmtId="0" fontId="12" fillId="16" borderId="18" xfId="0" applyFont="1" applyFill="1" applyBorder="1"/>
    <xf numFmtId="0" fontId="0" fillId="0" borderId="19" xfId="0" applyBorder="1"/>
    <xf numFmtId="0" fontId="1" fillId="3" borderId="0" xfId="0" applyFont="1" applyFill="1" applyAlignment="1">
      <alignment wrapText="1"/>
    </xf>
    <xf numFmtId="0" fontId="10" fillId="0" borderId="20" xfId="0" applyFont="1" applyBorder="1"/>
    <xf numFmtId="0" fontId="10" fillId="0" borderId="17" xfId="0" applyFont="1" applyBorder="1"/>
    <xf numFmtId="0" fontId="10" fillId="14" borderId="20" xfId="0" applyFont="1" applyFill="1" applyBorder="1"/>
    <xf numFmtId="0" fontId="10" fillId="14" borderId="21" xfId="0" applyFont="1" applyFill="1" applyBorder="1"/>
    <xf numFmtId="0" fontId="10" fillId="14" borderId="17" xfId="0" applyFont="1" applyFill="1" applyBorder="1"/>
    <xf numFmtId="0" fontId="14" fillId="17" borderId="0" xfId="0" applyFont="1" applyFill="1"/>
    <xf numFmtId="0" fontId="10" fillId="18" borderId="0" xfId="0" applyFont="1" applyFill="1"/>
    <xf numFmtId="0" fontId="2" fillId="19" borderId="0" xfId="0" applyFont="1" applyFill="1"/>
    <xf numFmtId="0" fontId="15" fillId="2" borderId="0" xfId="0" applyFont="1" applyFill="1" applyAlignment="1">
      <alignment wrapText="1"/>
    </xf>
    <xf numFmtId="0" fontId="15" fillId="3" borderId="0" xfId="0" applyFont="1" applyFill="1" applyAlignment="1">
      <alignment wrapText="1"/>
    </xf>
    <xf numFmtId="0" fontId="7" fillId="6" borderId="6" xfId="1" applyBorder="1" applyAlignment="1">
      <alignment horizontal="center" wrapText="1"/>
    </xf>
    <xf numFmtId="0" fontId="7" fillId="6" borderId="1" xfId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Consumption (Gallon/hour)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'Power analysis'!$B$43</c:f>
              <c:strCache>
                <c:ptCount val="1"/>
                <c:pt idx="0">
                  <c:v>Fuel Consumption (Gallon/hour)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661128535284382"/>
                  <c:y val="-4.72490330873492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 analysis'!$A$44:$A$47</c:f>
              <c:numCache>
                <c:formatCode>General</c:formatCode>
                <c:ptCount val="4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</c:numCache>
            </c:numRef>
          </c:xVal>
          <c:yVal>
            <c:numRef>
              <c:f>'Power analysis'!$B$44:$B$47</c:f>
              <c:numCache>
                <c:formatCode>General</c:formatCode>
                <c:ptCount val="4"/>
                <c:pt idx="0">
                  <c:v>1.05</c:v>
                </c:pt>
                <c:pt idx="1">
                  <c:v>0.86</c:v>
                </c:pt>
                <c:pt idx="2">
                  <c:v>0.71</c:v>
                </c:pt>
                <c:pt idx="3">
                  <c:v>0.59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8A3-4BEB-AD3F-5F4891E4E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231007"/>
        <c:axId val="2093141103"/>
      </c:scatterChart>
      <c:valAx>
        <c:axId val="136323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Load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41103"/>
        <c:crosses val="autoZero"/>
        <c:crossBetween val="midCat"/>
      </c:valAx>
      <c:valAx>
        <c:axId val="20931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231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19877</xdr:colOff>
      <xdr:row>47</xdr:row>
      <xdr:rowOff>66262</xdr:rowOff>
    </xdr:from>
    <xdr:to>
      <xdr:col>2</xdr:col>
      <xdr:colOff>1020417</xdr:colOff>
      <xdr:row>56</xdr:row>
      <xdr:rowOff>132521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909CD-A1BB-409D-FCEB-2379F7E3E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tabSelected="1" zoomScale="115" zoomScaleNormal="115" workbookViewId="0">
      <selection activeCell="C16" sqref="C16"/>
    </sheetView>
  </sheetViews>
  <sheetFormatPr defaultColWidth="14.44140625" defaultRowHeight="15" customHeight="1" x14ac:dyDescent="0.3"/>
  <cols>
    <col min="1" max="1" width="24.77734375" style="9" customWidth="1"/>
    <col min="2" max="2" width="28.44140625" bestFit="1" customWidth="1"/>
    <col min="3" max="3" width="22" customWidth="1"/>
    <col min="4" max="4" width="22.77734375" customWidth="1"/>
    <col min="5" max="5" width="25.21875" customWidth="1"/>
    <col min="6" max="6" width="28.33203125" customWidth="1"/>
    <col min="7" max="7" width="29.77734375" customWidth="1"/>
    <col min="8" max="8" width="26.77734375" customWidth="1"/>
    <col min="9" max="9" width="25.44140625" customWidth="1"/>
    <col min="10" max="10" width="17.77734375" customWidth="1"/>
    <col min="11" max="11" width="23.109375" customWidth="1"/>
    <col min="12" max="12" width="18.44140625" customWidth="1"/>
    <col min="13" max="13" width="21.5546875" customWidth="1"/>
    <col min="14" max="14" width="17.5546875" customWidth="1"/>
    <col min="15" max="15" width="19.44140625" customWidth="1"/>
    <col min="16" max="26" width="8.77734375" customWidth="1"/>
  </cols>
  <sheetData>
    <row r="1" spans="1:8" ht="22.95" customHeight="1" x14ac:dyDescent="0.4">
      <c r="A1" s="80" t="s">
        <v>49</v>
      </c>
      <c r="B1" s="80"/>
      <c r="C1" s="80"/>
      <c r="D1" s="80"/>
      <c r="E1" s="80"/>
      <c r="F1" s="80"/>
      <c r="G1" s="80"/>
      <c r="H1" s="35"/>
    </row>
    <row r="2" spans="1:8" ht="15" customHeight="1" x14ac:dyDescent="0.3">
      <c r="A2" s="28" t="s">
        <v>18</v>
      </c>
      <c r="B2" s="13" t="s">
        <v>19</v>
      </c>
      <c r="C2" s="6"/>
      <c r="D2" s="6"/>
      <c r="E2" s="6"/>
      <c r="F2" s="6"/>
      <c r="G2" s="6"/>
    </row>
    <row r="3" spans="1:8" ht="15" customHeight="1" x14ac:dyDescent="0.3">
      <c r="A3" s="10" t="s">
        <v>20</v>
      </c>
      <c r="B3" s="14">
        <v>43216</v>
      </c>
    </row>
    <row r="4" spans="1:8" ht="15" customHeight="1" thickBot="1" x14ac:dyDescent="0.35">
      <c r="A4" s="10"/>
    </row>
    <row r="5" spans="1:8" ht="31.05" customHeight="1" thickTop="1" thickBot="1" x14ac:dyDescent="0.35">
      <c r="A5" s="41" t="s">
        <v>13</v>
      </c>
      <c r="B5" s="21" t="s">
        <v>17</v>
      </c>
    </row>
    <row r="6" spans="1:8" ht="15" customHeight="1" thickTop="1" thickBot="1" x14ac:dyDescent="0.35">
      <c r="A6" s="42" t="s">
        <v>15</v>
      </c>
      <c r="B6" s="22">
        <v>5</v>
      </c>
      <c r="C6" s="8" t="s">
        <v>22</v>
      </c>
    </row>
    <row r="7" spans="1:8" ht="36.450000000000003" customHeight="1" thickTop="1" thickBot="1" x14ac:dyDescent="0.35">
      <c r="A7" s="42" t="s">
        <v>16</v>
      </c>
      <c r="B7" s="22">
        <v>0.06</v>
      </c>
      <c r="C7" s="8" t="s">
        <v>2</v>
      </c>
    </row>
    <row r="8" spans="1:8" ht="15" customHeight="1" thickTop="1" thickBot="1" x14ac:dyDescent="0.35">
      <c r="A8" s="41" t="s">
        <v>14</v>
      </c>
      <c r="B8" s="22">
        <v>30</v>
      </c>
    </row>
    <row r="9" spans="1:8" ht="15" customHeight="1" thickTop="1" thickBot="1" x14ac:dyDescent="0.35">
      <c r="B9" s="12"/>
    </row>
    <row r="10" spans="1:8" ht="46.5" customHeight="1" thickTop="1" thickBot="1" x14ac:dyDescent="0.35">
      <c r="A10" s="41" t="s">
        <v>51</v>
      </c>
      <c r="B10" s="22">
        <v>45</v>
      </c>
      <c r="C10" s="78" t="s">
        <v>92</v>
      </c>
      <c r="D10" s="79"/>
    </row>
    <row r="11" spans="1:8" ht="15" customHeight="1" thickTop="1" thickBot="1" x14ac:dyDescent="0.35">
      <c r="A11" s="42" t="s">
        <v>52</v>
      </c>
      <c r="B11" s="22">
        <v>50</v>
      </c>
      <c r="C11" s="15"/>
      <c r="E11" s="11"/>
      <c r="F11" s="11"/>
      <c r="G11" s="11"/>
    </row>
    <row r="12" spans="1:8" ht="15" customHeight="1" thickTop="1" x14ac:dyDescent="0.3">
      <c r="A12" s="41" t="s">
        <v>53</v>
      </c>
      <c r="B12" s="23">
        <v>4</v>
      </c>
    </row>
    <row r="13" spans="1:8" thickBot="1" x14ac:dyDescent="0.35">
      <c r="A13" s="41" t="s">
        <v>54</v>
      </c>
      <c r="B13" s="24">
        <v>4</v>
      </c>
      <c r="C13" s="1"/>
    </row>
    <row r="14" spans="1:8" ht="15.6" thickTop="1" thickBot="1" x14ac:dyDescent="0.35">
      <c r="A14" s="42" t="s">
        <v>77</v>
      </c>
      <c r="B14" s="22">
        <v>0.5</v>
      </c>
      <c r="C14" s="1"/>
    </row>
    <row r="15" spans="1:8" ht="15.6" thickTop="1" thickBot="1" x14ac:dyDescent="0.35">
      <c r="A15" s="42" t="s">
        <v>21</v>
      </c>
      <c r="B15" s="22">
        <v>1</v>
      </c>
      <c r="C15" s="1"/>
      <c r="E15" s="7"/>
    </row>
    <row r="16" spans="1:8" ht="15.6" thickTop="1" thickBot="1" x14ac:dyDescent="0.35">
      <c r="A16" s="10"/>
      <c r="B16" s="11"/>
      <c r="C16" s="1"/>
      <c r="E16" s="7"/>
    </row>
    <row r="17" spans="1:8" ht="44.55" customHeight="1" thickTop="1" thickBot="1" x14ac:dyDescent="0.35">
      <c r="A17" s="43" t="s">
        <v>23</v>
      </c>
      <c r="B17" s="22">
        <v>0.3</v>
      </c>
      <c r="C17" s="78" t="s">
        <v>0</v>
      </c>
      <c r="D17" s="79"/>
    </row>
    <row r="18" spans="1:8" ht="30" thickTop="1" thickBot="1" x14ac:dyDescent="0.35">
      <c r="A18" s="43" t="s">
        <v>24</v>
      </c>
      <c r="B18" s="22">
        <v>1</v>
      </c>
      <c r="C18" s="1"/>
    </row>
    <row r="19" spans="1:8" thickTop="1" x14ac:dyDescent="0.3">
      <c r="A19" s="10"/>
      <c r="B19" s="11"/>
      <c r="C19" s="1"/>
    </row>
    <row r="20" spans="1:8" ht="14.4" x14ac:dyDescent="0.3">
      <c r="B20" s="7"/>
      <c r="C20" s="2"/>
    </row>
    <row r="21" spans="1:8" s="9" customFormat="1" ht="33.450000000000003" customHeight="1" x14ac:dyDescent="0.3">
      <c r="A21" s="44"/>
      <c r="B21" s="45" t="s">
        <v>1</v>
      </c>
      <c r="C21" s="45" t="s">
        <v>3</v>
      </c>
      <c r="D21" s="45" t="s">
        <v>78</v>
      </c>
      <c r="E21" s="45" t="s">
        <v>27</v>
      </c>
      <c r="F21" s="45" t="s">
        <v>28</v>
      </c>
      <c r="G21" s="45" t="s">
        <v>48</v>
      </c>
      <c r="H21" s="45" t="s">
        <v>79</v>
      </c>
    </row>
    <row r="22" spans="1:8" ht="14.4" x14ac:dyDescent="0.3">
      <c r="A22" s="29" t="s">
        <v>76</v>
      </c>
      <c r="B22" s="18">
        <f>B13*(B10+B11+B12)</f>
        <v>396</v>
      </c>
      <c r="C22" s="18">
        <f>B22*B7*B8</f>
        <v>712.8</v>
      </c>
      <c r="D22" s="19">
        <f>C22*B6</f>
        <v>3564</v>
      </c>
      <c r="E22" s="18">
        <f>D22*B17</f>
        <v>1069.2</v>
      </c>
      <c r="F22" s="20">
        <f>E22*B18</f>
        <v>1069.2</v>
      </c>
      <c r="G22" s="20">
        <f>B22*B7*B8*B17*B18</f>
        <v>213.83999999999997</v>
      </c>
      <c r="H22" s="20">
        <f>G22*B6</f>
        <v>1069.1999999999998</v>
      </c>
    </row>
    <row r="23" spans="1:8" thickBot="1" x14ac:dyDescent="0.35">
      <c r="A23" s="36" t="s">
        <v>50</v>
      </c>
      <c r="B23" s="37">
        <f>B14</f>
        <v>0.5</v>
      </c>
      <c r="C23" s="37">
        <f>B23*B7*B8</f>
        <v>0.89999999999999991</v>
      </c>
      <c r="D23" s="38">
        <f>C23*B6</f>
        <v>4.5</v>
      </c>
      <c r="E23" s="39">
        <f>D23*B17</f>
        <v>1.3499999999999999</v>
      </c>
      <c r="F23" s="40">
        <f>E23*B18</f>
        <v>1.3499999999999999</v>
      </c>
      <c r="G23" s="40">
        <f>B23*B7*B8*B17*B18</f>
        <v>0.26999999999999996</v>
      </c>
      <c r="H23" s="40">
        <f>G23*B6</f>
        <v>1.3499999999999999</v>
      </c>
    </row>
    <row r="24" spans="1:8" ht="15.6" thickTop="1" thickBot="1" x14ac:dyDescent="0.35">
      <c r="A24" s="33" t="s">
        <v>29</v>
      </c>
      <c r="B24" s="34">
        <f>B22+B23</f>
        <v>396.5</v>
      </c>
      <c r="C24" s="34">
        <f t="shared" ref="C24:G24" si="0">C22+C23</f>
        <v>713.69999999999993</v>
      </c>
      <c r="D24" s="34">
        <f t="shared" si="0"/>
        <v>3568.5</v>
      </c>
      <c r="E24" s="34">
        <f t="shared" si="0"/>
        <v>1070.55</v>
      </c>
      <c r="F24" s="34">
        <f t="shared" si="0"/>
        <v>1070.55</v>
      </c>
      <c r="G24" s="34">
        <f t="shared" si="0"/>
        <v>214.10999999999999</v>
      </c>
      <c r="H24" s="34">
        <f t="shared" ref="H24" si="1">H22+H23</f>
        <v>1070.5499999999997</v>
      </c>
    </row>
    <row r="25" spans="1:8" ht="15.6" thickTop="1" thickBot="1" x14ac:dyDescent="0.35">
      <c r="A25" s="51"/>
      <c r="B25" s="16"/>
      <c r="C25" s="16"/>
      <c r="D25" s="16"/>
      <c r="E25" s="16"/>
      <c r="F25" s="16"/>
    </row>
    <row r="26" spans="1:8" ht="30" thickTop="1" thickBot="1" x14ac:dyDescent="0.35">
      <c r="A26" s="43" t="s">
        <v>35</v>
      </c>
      <c r="B26" s="22"/>
      <c r="C26" s="16"/>
      <c r="D26" s="16"/>
      <c r="E26" s="16"/>
      <c r="F26" s="16"/>
    </row>
    <row r="27" spans="1:8" ht="30" thickTop="1" thickBot="1" x14ac:dyDescent="0.35">
      <c r="A27" s="43" t="s">
        <v>36</v>
      </c>
      <c r="B27" s="52">
        <v>0.9</v>
      </c>
      <c r="C27" s="32" t="s">
        <v>37</v>
      </c>
      <c r="D27" s="55"/>
      <c r="E27" s="16"/>
      <c r="F27" s="16"/>
    </row>
    <row r="28" spans="1:8" ht="15.6" thickTop="1" thickBot="1" x14ac:dyDescent="0.35">
      <c r="A28" s="30"/>
      <c r="B28" s="16"/>
      <c r="C28" s="16"/>
      <c r="D28" s="16"/>
      <c r="E28" s="16"/>
    </row>
    <row r="29" spans="1:8" ht="30" thickTop="1" thickBot="1" x14ac:dyDescent="0.35">
      <c r="A29" s="46" t="s">
        <v>25</v>
      </c>
      <c r="B29" s="52">
        <v>0.5</v>
      </c>
      <c r="C29" s="32"/>
      <c r="D29" s="16"/>
      <c r="E29" s="16"/>
    </row>
    <row r="30" spans="1:8" ht="30" thickTop="1" thickBot="1" x14ac:dyDescent="0.35">
      <c r="A30" s="46" t="s">
        <v>26</v>
      </c>
      <c r="B30" s="52">
        <v>1</v>
      </c>
      <c r="C30" s="32"/>
    </row>
    <row r="31" spans="1:8" thickTop="1" x14ac:dyDescent="0.3">
      <c r="A31" s="27"/>
      <c r="B31" s="11"/>
      <c r="C31" s="16"/>
    </row>
    <row r="32" spans="1:8" s="9" customFormat="1" ht="43.8" thickBot="1" x14ac:dyDescent="0.35">
      <c r="A32" s="47" t="s">
        <v>40</v>
      </c>
      <c r="B32" s="48" t="s">
        <v>38</v>
      </c>
      <c r="C32" s="48" t="s">
        <v>39</v>
      </c>
    </row>
    <row r="33" spans="1:5" ht="15.6" thickTop="1" thickBot="1" x14ac:dyDescent="0.35">
      <c r="A33" s="68" t="s">
        <v>29</v>
      </c>
      <c r="B33" s="70">
        <f>(D24+(D24*B29))+(D24*(1/(100-(B27*100))))*B30</f>
        <v>5709.6</v>
      </c>
      <c r="C33" s="70">
        <f>(F24+(F24*B29))+(F24*(1/(100-(B27*100))))*B30</f>
        <v>1712.8799999999999</v>
      </c>
    </row>
    <row r="34" spans="1:5" thickBot="1" x14ac:dyDescent="0.35">
      <c r="A34" s="69" t="s">
        <v>83</v>
      </c>
      <c r="B34" s="72">
        <f>B33/D38</f>
        <v>0.57050359712230214</v>
      </c>
      <c r="C34" s="71">
        <f>C33/D38</f>
        <v>0.17115107913669064</v>
      </c>
    </row>
    <row r="35" spans="1:5" thickBot="1" x14ac:dyDescent="0.35">
      <c r="A35" s="69" t="s">
        <v>85</v>
      </c>
      <c r="B35" s="72">
        <f>(0.612*B34)+0.42</f>
        <v>0.76914820143884888</v>
      </c>
      <c r="C35" s="72">
        <f>(0.612*C34)+0.42</f>
        <v>0.52474446043165468</v>
      </c>
    </row>
    <row r="36" spans="1:5" thickBot="1" x14ac:dyDescent="0.35">
      <c r="A36" s="26"/>
      <c r="B36" s="8"/>
    </row>
    <row r="37" spans="1:5" ht="15.6" thickTop="1" thickBot="1" x14ac:dyDescent="0.35">
      <c r="A37" s="46" t="s">
        <v>41</v>
      </c>
      <c r="B37" s="53" t="s">
        <v>42</v>
      </c>
    </row>
    <row r="38" spans="1:5" ht="30" thickTop="1" thickBot="1" x14ac:dyDescent="0.35">
      <c r="A38" s="46" t="s">
        <v>43</v>
      </c>
      <c r="B38" s="54">
        <f>41.7*2</f>
        <v>83.4</v>
      </c>
      <c r="C38" s="8" t="s">
        <v>44</v>
      </c>
      <c r="D38" s="56">
        <f>B38*120</f>
        <v>10008</v>
      </c>
      <c r="E38" s="8" t="s">
        <v>45</v>
      </c>
    </row>
    <row r="39" spans="1:5" ht="15.6" thickTop="1" thickBot="1" x14ac:dyDescent="0.35">
      <c r="A39" s="26"/>
      <c r="B39" s="50" t="s">
        <v>31</v>
      </c>
      <c r="C39" s="50" t="s">
        <v>33</v>
      </c>
      <c r="D39" s="50" t="s">
        <v>32</v>
      </c>
      <c r="E39" s="50" t="s">
        <v>34</v>
      </c>
    </row>
    <row r="40" spans="1:5" ht="15.6" thickTop="1" thickBot="1" x14ac:dyDescent="0.35">
      <c r="A40" s="46" t="s">
        <v>30</v>
      </c>
      <c r="B40" s="22">
        <v>1.05</v>
      </c>
      <c r="C40" s="22">
        <v>0.86</v>
      </c>
      <c r="D40" s="49">
        <v>0.71</v>
      </c>
      <c r="E40" s="22">
        <v>0.59</v>
      </c>
    </row>
    <row r="41" spans="1:5" thickTop="1" x14ac:dyDescent="0.3">
      <c r="A41" s="17" t="s">
        <v>47</v>
      </c>
      <c r="B41" s="2"/>
    </row>
    <row r="42" spans="1:5" ht="14.4" x14ac:dyDescent="0.3">
      <c r="A42" s="17" t="s">
        <v>46</v>
      </c>
      <c r="B42" s="2"/>
    </row>
    <row r="43" spans="1:5" ht="14.4" x14ac:dyDescent="0.3">
      <c r="A43" s="73" t="s">
        <v>84</v>
      </c>
      <c r="B43" s="73" t="s">
        <v>86</v>
      </c>
    </row>
    <row r="44" spans="1:5" ht="14.4" x14ac:dyDescent="0.3">
      <c r="A44" s="74">
        <v>1</v>
      </c>
      <c r="B44" s="75">
        <v>1.05</v>
      </c>
    </row>
    <row r="45" spans="1:5" ht="14.4" x14ac:dyDescent="0.3">
      <c r="A45" s="74">
        <v>0.75</v>
      </c>
      <c r="B45" s="75">
        <v>0.86</v>
      </c>
    </row>
    <row r="46" spans="1:5" ht="14.4" x14ac:dyDescent="0.3">
      <c r="A46" s="74">
        <v>0.5</v>
      </c>
      <c r="B46" s="75">
        <v>0.71</v>
      </c>
    </row>
    <row r="47" spans="1:5" ht="14.4" x14ac:dyDescent="0.3">
      <c r="A47" s="74">
        <v>0.25</v>
      </c>
      <c r="B47" s="75">
        <v>0.59</v>
      </c>
    </row>
    <row r="58" spans="1:5" s="9" customFormat="1" ht="28.95" customHeight="1" x14ac:dyDescent="0.3">
      <c r="B58" s="25" t="s">
        <v>4</v>
      </c>
      <c r="C58" s="25" t="s">
        <v>5</v>
      </c>
      <c r="D58" s="25" t="s">
        <v>6</v>
      </c>
      <c r="E58" s="25" t="s">
        <v>7</v>
      </c>
    </row>
    <row r="59" spans="1:5" ht="14.4" x14ac:dyDescent="0.3">
      <c r="A59" s="76" t="s">
        <v>88</v>
      </c>
      <c r="B59" s="3" t="s">
        <v>8</v>
      </c>
      <c r="C59" s="3" t="s">
        <v>9</v>
      </c>
      <c r="D59" s="3" t="s">
        <v>10</v>
      </c>
      <c r="E59" s="3" t="s">
        <v>11</v>
      </c>
    </row>
    <row r="60" spans="1:5" ht="14.4" x14ac:dyDescent="0.3">
      <c r="A60" s="31" t="s">
        <v>12</v>
      </c>
      <c r="B60" s="4">
        <v>1.05</v>
      </c>
      <c r="C60" s="4">
        <v>24</v>
      </c>
      <c r="D60" s="4">
        <v>9</v>
      </c>
      <c r="E60" s="4">
        <f>B60*C60*D60</f>
        <v>226.8</v>
      </c>
    </row>
    <row r="61" spans="1:5" ht="14.4" x14ac:dyDescent="0.3">
      <c r="A61" s="67" t="s">
        <v>80</v>
      </c>
      <c r="B61" s="5">
        <v>0.84689999999999999</v>
      </c>
      <c r="C61" s="5">
        <v>24</v>
      </c>
      <c r="D61" s="5">
        <v>9</v>
      </c>
      <c r="E61" s="5">
        <f>B61*C61*D61</f>
        <v>182.93040000000002</v>
      </c>
    </row>
    <row r="62" spans="1:5" ht="14.4" x14ac:dyDescent="0.3">
      <c r="A62" s="67" t="s">
        <v>81</v>
      </c>
      <c r="B62" s="4">
        <v>0.71150000000000002</v>
      </c>
      <c r="C62" s="4">
        <v>24</v>
      </c>
      <c r="D62" s="4">
        <v>9</v>
      </c>
      <c r="E62" s="4">
        <f>B62*C62*D62</f>
        <v>153.684</v>
      </c>
    </row>
    <row r="63" spans="1:5" ht="14.4" x14ac:dyDescent="0.3">
      <c r="A63" s="67" t="s">
        <v>82</v>
      </c>
      <c r="B63" s="5">
        <v>0.57609999999999995</v>
      </c>
      <c r="C63" s="5">
        <v>24</v>
      </c>
      <c r="D63" s="5">
        <v>9</v>
      </c>
      <c r="E63" s="5">
        <f>B63*C63*D63</f>
        <v>124.4376</v>
      </c>
    </row>
    <row r="64" spans="1:5" ht="14.4" x14ac:dyDescent="0.3"/>
    <row r="65" spans="1:5" ht="14.4" x14ac:dyDescent="0.3">
      <c r="A65" s="81" t="s">
        <v>87</v>
      </c>
      <c r="B65" s="81"/>
      <c r="C65" s="81"/>
    </row>
    <row r="66" spans="1:5" ht="14.4" x14ac:dyDescent="0.3">
      <c r="B66" s="25" t="s">
        <v>4</v>
      </c>
      <c r="C66" s="25" t="s">
        <v>5</v>
      </c>
      <c r="D66" s="25" t="s">
        <v>6</v>
      </c>
      <c r="E66" s="25" t="s">
        <v>7</v>
      </c>
    </row>
    <row r="67" spans="1:5" ht="14.4" x14ac:dyDescent="0.3">
      <c r="A67" s="76" t="s">
        <v>89</v>
      </c>
      <c r="B67" s="3" t="s">
        <v>8</v>
      </c>
      <c r="C67" s="3" t="s">
        <v>9</v>
      </c>
      <c r="D67" s="3" t="s">
        <v>10</v>
      </c>
      <c r="E67" s="3" t="s">
        <v>11</v>
      </c>
    </row>
    <row r="68" spans="1:5" ht="14.4" x14ac:dyDescent="0.3">
      <c r="A68" s="77" t="s">
        <v>90</v>
      </c>
      <c r="B68" s="4">
        <f>B35</f>
        <v>0.76914820143884888</v>
      </c>
      <c r="C68" s="4">
        <v>12</v>
      </c>
      <c r="D68" s="4">
        <v>9</v>
      </c>
      <c r="E68" s="4">
        <f>B68*C68*D68</f>
        <v>83.068005755395674</v>
      </c>
    </row>
    <row r="69" spans="1:5" ht="14.4" x14ac:dyDescent="0.3">
      <c r="A69" s="77" t="s">
        <v>91</v>
      </c>
      <c r="B69" s="5">
        <f>C35</f>
        <v>0.52474446043165468</v>
      </c>
      <c r="C69" s="5">
        <v>12</v>
      </c>
      <c r="D69" s="5">
        <v>9</v>
      </c>
      <c r="E69" s="5">
        <f>B69*C69*D69</f>
        <v>56.672401726618702</v>
      </c>
    </row>
    <row r="70" spans="1:5" ht="14.4" x14ac:dyDescent="0.3"/>
    <row r="71" spans="1:5" ht="14.4" x14ac:dyDescent="0.3"/>
    <row r="72" spans="1:5" ht="14.4" x14ac:dyDescent="0.3"/>
    <row r="73" spans="1:5" ht="14.4" x14ac:dyDescent="0.3"/>
    <row r="74" spans="1:5" ht="14.4" x14ac:dyDescent="0.3"/>
    <row r="75" spans="1:5" ht="14.4" x14ac:dyDescent="0.3"/>
    <row r="76" spans="1:5" ht="14.4" x14ac:dyDescent="0.3"/>
    <row r="77" spans="1:5" ht="14.4" x14ac:dyDescent="0.3"/>
    <row r="78" spans="1:5" ht="14.4" x14ac:dyDescent="0.3"/>
    <row r="79" spans="1:5" ht="14.4" x14ac:dyDescent="0.3"/>
    <row r="80" spans="1:5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</sheetData>
  <mergeCells count="4">
    <mergeCell ref="C10:D10"/>
    <mergeCell ref="C17:D17"/>
    <mergeCell ref="A1:G1"/>
    <mergeCell ref="A65:C65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3F02-156D-4824-A409-B7CEB9056E67}">
  <dimension ref="A1:E23"/>
  <sheetViews>
    <sheetView workbookViewId="0">
      <selection activeCell="H13" sqref="H13"/>
    </sheetView>
  </sheetViews>
  <sheetFormatPr defaultRowHeight="14.4" x14ac:dyDescent="0.3"/>
  <cols>
    <col min="1" max="1" width="33.44140625" bestFit="1" customWidth="1"/>
    <col min="2" max="2" width="20.6640625" bestFit="1" customWidth="1"/>
    <col min="3" max="3" width="13.21875" customWidth="1"/>
    <col min="4" max="4" width="13.109375" bestFit="1" customWidth="1"/>
  </cols>
  <sheetData>
    <row r="1" spans="1:5" ht="15.6" thickTop="1" thickBot="1" x14ac:dyDescent="0.35">
      <c r="A1" s="57"/>
      <c r="B1" s="58" t="s">
        <v>55</v>
      </c>
    </row>
    <row r="2" spans="1:5" ht="15.6" thickTop="1" thickBot="1" x14ac:dyDescent="0.35">
      <c r="A2" s="59" t="s">
        <v>56</v>
      </c>
      <c r="B2" s="60">
        <v>1</v>
      </c>
    </row>
    <row r="3" spans="1:5" ht="15.6" thickTop="1" thickBot="1" x14ac:dyDescent="0.35">
      <c r="A3" s="59" t="s">
        <v>57</v>
      </c>
      <c r="B3" s="61">
        <v>30</v>
      </c>
    </row>
    <row r="4" spans="1:5" ht="15.6" thickTop="1" thickBot="1" x14ac:dyDescent="0.35">
      <c r="A4" s="59" t="s">
        <v>58</v>
      </c>
      <c r="B4" s="61">
        <v>0.06</v>
      </c>
      <c r="C4" s="66" t="s">
        <v>59</v>
      </c>
      <c r="D4" s="11"/>
      <c r="E4" s="11"/>
    </row>
    <row r="5" spans="1:5" ht="15.6" thickTop="1" thickBot="1" x14ac:dyDescent="0.35">
      <c r="A5" s="59" t="s">
        <v>60</v>
      </c>
      <c r="B5" s="61">
        <f>B4*B3</f>
        <v>1.7999999999999998</v>
      </c>
      <c r="D5" s="57"/>
    </row>
    <row r="6" spans="1:5" ht="15.6" thickTop="1" thickBot="1" x14ac:dyDescent="0.35"/>
    <row r="7" spans="1:5" ht="15.6" thickTop="1" thickBot="1" x14ac:dyDescent="0.35">
      <c r="A7" s="57" t="s">
        <v>61</v>
      </c>
      <c r="B7" s="58" t="s">
        <v>62</v>
      </c>
      <c r="C7" s="58" t="s">
        <v>63</v>
      </c>
      <c r="D7" s="58" t="s">
        <v>64</v>
      </c>
    </row>
    <row r="8" spans="1:5" ht="15.6" thickTop="1" thickBot="1" x14ac:dyDescent="0.35">
      <c r="A8" s="59" t="s">
        <v>65</v>
      </c>
      <c r="B8" s="60">
        <v>4</v>
      </c>
      <c r="C8" s="60">
        <v>45</v>
      </c>
      <c r="D8" s="60">
        <v>50</v>
      </c>
    </row>
    <row r="9" spans="1:5" ht="15.6" thickTop="1" thickBot="1" x14ac:dyDescent="0.35">
      <c r="A9" s="59" t="s">
        <v>66</v>
      </c>
      <c r="B9" s="61">
        <f>B8*B5</f>
        <v>7.1999999999999993</v>
      </c>
      <c r="C9" s="61">
        <f>B5*C8</f>
        <v>80.999999999999986</v>
      </c>
      <c r="D9" s="61">
        <f>D8*B5</f>
        <v>89.999999999999986</v>
      </c>
    </row>
    <row r="10" spans="1:5" ht="15.6" thickTop="1" thickBot="1" x14ac:dyDescent="0.35">
      <c r="A10" s="59" t="s">
        <v>67</v>
      </c>
      <c r="B10" s="61">
        <f>B9*B22</f>
        <v>2.3999999975999997</v>
      </c>
      <c r="C10" s="61">
        <f>C9*B22</f>
        <v>26.999999972999998</v>
      </c>
      <c r="D10" s="61">
        <f>D9*B22</f>
        <v>29.999999969999998</v>
      </c>
    </row>
    <row r="11" spans="1:5" ht="15.6" thickTop="1" thickBot="1" x14ac:dyDescent="0.35">
      <c r="A11" s="59" t="s">
        <v>68</v>
      </c>
      <c r="B11" s="62">
        <f>5*B9</f>
        <v>36</v>
      </c>
      <c r="C11" s="61">
        <f t="shared" ref="C11:D11" si="0">C9</f>
        <v>80.999999999999986</v>
      </c>
      <c r="D11" s="61">
        <f t="shared" si="0"/>
        <v>89.999999999999986</v>
      </c>
    </row>
    <row r="12" spans="1:5" ht="15.6" thickTop="1" thickBot="1" x14ac:dyDescent="0.35">
      <c r="A12" s="63" t="s">
        <v>69</v>
      </c>
      <c r="B12" s="64">
        <f>B11*B22</f>
        <v>11.999999988000001</v>
      </c>
      <c r="C12" s="65">
        <f>C11*B22</f>
        <v>26.999999972999998</v>
      </c>
      <c r="D12" s="61">
        <f>D11*B22</f>
        <v>29.999999969999998</v>
      </c>
    </row>
    <row r="13" spans="1:5" ht="15.6" thickTop="1" thickBot="1" x14ac:dyDescent="0.35"/>
    <row r="14" spans="1:5" ht="15.6" thickTop="1" thickBot="1" x14ac:dyDescent="0.35">
      <c r="A14" s="57" t="s">
        <v>70</v>
      </c>
      <c r="B14" s="58" t="s">
        <v>71</v>
      </c>
    </row>
    <row r="15" spans="1:5" ht="15.6" thickTop="1" thickBot="1" x14ac:dyDescent="0.35">
      <c r="A15" s="59" t="s">
        <v>65</v>
      </c>
      <c r="B15" s="60">
        <v>0.5</v>
      </c>
    </row>
    <row r="16" spans="1:5" ht="15.6" thickTop="1" thickBot="1" x14ac:dyDescent="0.35">
      <c r="A16" s="59" t="s">
        <v>72</v>
      </c>
      <c r="B16" s="61">
        <f>B15*B5</f>
        <v>0.89999999999999991</v>
      </c>
    </row>
    <row r="17" spans="1:2" ht="15.6" thickTop="1" thickBot="1" x14ac:dyDescent="0.35">
      <c r="A17" s="59" t="s">
        <v>66</v>
      </c>
      <c r="B17" s="61">
        <f>(B15*B16)</f>
        <v>0.44999999999999996</v>
      </c>
    </row>
    <row r="18" spans="1:2" ht="15.6" thickTop="1" thickBot="1" x14ac:dyDescent="0.35">
      <c r="A18" s="59" t="s">
        <v>73</v>
      </c>
      <c r="B18" s="61">
        <f>B17*B22</f>
        <v>0.14999999984999998</v>
      </c>
    </row>
    <row r="19" spans="1:2" ht="15.6" thickTop="1" thickBot="1" x14ac:dyDescent="0.35">
      <c r="A19" s="59" t="s">
        <v>74</v>
      </c>
      <c r="B19" s="61">
        <f>B17*5</f>
        <v>2.25</v>
      </c>
    </row>
    <row r="20" spans="1:2" ht="15.6" thickTop="1" thickBot="1" x14ac:dyDescent="0.35">
      <c r="A20" s="59" t="s">
        <v>69</v>
      </c>
      <c r="B20" s="61">
        <f>B19*B22</f>
        <v>0.74999999925000005</v>
      </c>
    </row>
    <row r="21" spans="1:2" ht="15.6" thickTop="1" thickBot="1" x14ac:dyDescent="0.35"/>
    <row r="22" spans="1:2" ht="15.6" thickTop="1" thickBot="1" x14ac:dyDescent="0.35">
      <c r="A22" s="59" t="s">
        <v>75</v>
      </c>
      <c r="B22" s="61">
        <v>0.33333333300000001</v>
      </c>
    </row>
    <row r="23" spans="1:2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analysis</vt:lpstr>
      <vt:lpstr>Circuit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Spoook427</dc:creator>
  <cp:lastModifiedBy>Eduardo Ortega</cp:lastModifiedBy>
  <dcterms:created xsi:type="dcterms:W3CDTF">2018-04-01T16:40:27Z</dcterms:created>
  <dcterms:modified xsi:type="dcterms:W3CDTF">2023-07-07T23:13:01Z</dcterms:modified>
</cp:coreProperties>
</file>